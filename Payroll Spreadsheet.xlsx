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40E9041-9969-49D0-B5CC-665C5ACE66AE}" xr6:coauthVersionLast="47" xr6:coauthVersionMax="47" xr10:uidLastSave="{00000000-0000-0000-0000-000000000000}"/>
  <bookViews>
    <workbookView xWindow="-120" yWindow="-120" windowWidth="20730" windowHeight="11040" xr2:uid="{611AA6DB-2A86-4358-B29D-BBBDB12F3A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5" i="1" l="1"/>
  <c r="AC16" i="1"/>
  <c r="AC17" i="1"/>
  <c r="AC18" i="1"/>
  <c r="AC5" i="1"/>
  <c r="AC6" i="1"/>
  <c r="AC7" i="1"/>
  <c r="AC8" i="1"/>
  <c r="AC9" i="1"/>
  <c r="AC10" i="1"/>
  <c r="AC11" i="1"/>
  <c r="AC12" i="1"/>
  <c r="AC4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Z8" i="1"/>
  <c r="AB12" i="1"/>
  <c r="AA12" i="1"/>
  <c r="Z12" i="1"/>
  <c r="Y12" i="1"/>
  <c r="X12" i="1"/>
  <c r="AB11" i="1"/>
  <c r="AA11" i="1"/>
  <c r="Z11" i="1"/>
  <c r="Y11" i="1"/>
  <c r="X11" i="1"/>
  <c r="AB10" i="1"/>
  <c r="AA10" i="1"/>
  <c r="Z10" i="1"/>
  <c r="Y10" i="1"/>
  <c r="X10" i="1"/>
  <c r="AB9" i="1"/>
  <c r="AA9" i="1"/>
  <c r="Z9" i="1"/>
  <c r="Y9" i="1"/>
  <c r="X9" i="1"/>
  <c r="AB8" i="1"/>
  <c r="AA8" i="1"/>
  <c r="Y8" i="1"/>
  <c r="X8" i="1"/>
  <c r="AB7" i="1"/>
  <c r="AA7" i="1"/>
  <c r="Z7" i="1"/>
  <c r="Y7" i="1"/>
  <c r="X7" i="1"/>
  <c r="AB6" i="1"/>
  <c r="AA6" i="1"/>
  <c r="Z6" i="1"/>
  <c r="Y6" i="1"/>
  <c r="X6" i="1"/>
  <c r="AB5" i="1"/>
  <c r="AA5" i="1"/>
  <c r="Z5" i="1"/>
  <c r="Y5" i="1"/>
  <c r="X5" i="1"/>
  <c r="AB4" i="1"/>
  <c r="AA4" i="1"/>
  <c r="Z4" i="1"/>
  <c r="Y4" i="1"/>
  <c r="Z3" i="1"/>
  <c r="AA3" i="1" s="1"/>
  <c r="AB3" i="1" s="1"/>
  <c r="Y3" i="1"/>
  <c r="W12" i="1"/>
  <c r="V12" i="1"/>
  <c r="U12" i="1"/>
  <c r="T12" i="1"/>
  <c r="S12" i="1"/>
  <c r="W11" i="1"/>
  <c r="V11" i="1"/>
  <c r="U11" i="1"/>
  <c r="T11" i="1"/>
  <c r="S11" i="1"/>
  <c r="W10" i="1"/>
  <c r="V10" i="1"/>
  <c r="U10" i="1"/>
  <c r="T10" i="1"/>
  <c r="S10" i="1"/>
  <c r="W9" i="1"/>
  <c r="V9" i="1"/>
  <c r="U9" i="1"/>
  <c r="T9" i="1"/>
  <c r="S9" i="1"/>
  <c r="W8" i="1"/>
  <c r="V8" i="1"/>
  <c r="U8" i="1"/>
  <c r="T8" i="1"/>
  <c r="S8" i="1"/>
  <c r="W7" i="1"/>
  <c r="V7" i="1"/>
  <c r="U7" i="1"/>
  <c r="T7" i="1"/>
  <c r="S7" i="1"/>
  <c r="W6" i="1"/>
  <c r="V6" i="1"/>
  <c r="U6" i="1"/>
  <c r="T6" i="1"/>
  <c r="S6" i="1"/>
  <c r="W5" i="1"/>
  <c r="V5" i="1"/>
  <c r="U5" i="1"/>
  <c r="T5" i="1"/>
  <c r="S5" i="1"/>
  <c r="W4" i="1"/>
  <c r="V4" i="1"/>
  <c r="U4" i="1"/>
  <c r="T4" i="1"/>
  <c r="S4" i="1"/>
  <c r="U3" i="1"/>
  <c r="V3" i="1" s="1"/>
  <c r="W3" i="1" s="1"/>
  <c r="T3" i="1"/>
  <c r="P4" i="1"/>
  <c r="Q4" i="1"/>
  <c r="R4" i="1"/>
  <c r="P5" i="1"/>
  <c r="Q5" i="1"/>
  <c r="R5" i="1"/>
  <c r="P6" i="1"/>
  <c r="Q6" i="1"/>
  <c r="R6" i="1"/>
  <c r="P7" i="1"/>
  <c r="Q7" i="1"/>
  <c r="R7" i="1"/>
  <c r="P8" i="1"/>
  <c r="Q8" i="1"/>
  <c r="R8" i="1"/>
  <c r="P9" i="1"/>
  <c r="Q9" i="1"/>
  <c r="R9" i="1"/>
  <c r="P10" i="1"/>
  <c r="Q10" i="1"/>
  <c r="R10" i="1"/>
  <c r="P11" i="1"/>
  <c r="Q11" i="1"/>
  <c r="R11" i="1"/>
  <c r="P12" i="1"/>
  <c r="Q12" i="1"/>
  <c r="R12" i="1"/>
  <c r="O12" i="1"/>
  <c r="O11" i="1"/>
  <c r="O10" i="1"/>
  <c r="O9" i="1"/>
  <c r="O8" i="1"/>
  <c r="O7" i="1"/>
  <c r="O6" i="1"/>
  <c r="O5" i="1"/>
  <c r="O4" i="1"/>
  <c r="N5" i="1"/>
  <c r="N6" i="1"/>
  <c r="N7" i="1"/>
  <c r="N8" i="1"/>
  <c r="N9" i="1"/>
  <c r="N10" i="1"/>
  <c r="N11" i="1"/>
  <c r="N12" i="1"/>
  <c r="N4" i="1"/>
  <c r="O3" i="1"/>
  <c r="P3" i="1" s="1"/>
  <c r="Q3" i="1" s="1"/>
  <c r="R3" i="1" s="1"/>
  <c r="L12" i="1"/>
  <c r="L11" i="1"/>
  <c r="L10" i="1"/>
  <c r="L9" i="1"/>
  <c r="L8" i="1"/>
  <c r="L7" i="1"/>
  <c r="L6" i="1"/>
  <c r="L5" i="1"/>
  <c r="L4" i="1"/>
  <c r="J4" i="1"/>
  <c r="I4" i="1"/>
  <c r="M12" i="1"/>
  <c r="M11" i="1"/>
  <c r="M10" i="1"/>
  <c r="M9" i="1"/>
  <c r="M8" i="1"/>
  <c r="M7" i="1"/>
  <c r="M6" i="1"/>
  <c r="M5" i="1"/>
  <c r="M4" i="1"/>
  <c r="K12" i="1"/>
  <c r="K11" i="1"/>
  <c r="K10" i="1"/>
  <c r="K9" i="1"/>
  <c r="K8" i="1"/>
  <c r="K7" i="1"/>
  <c r="K6" i="1"/>
  <c r="K5" i="1"/>
  <c r="K4" i="1"/>
  <c r="J12" i="1"/>
  <c r="J11" i="1"/>
  <c r="J10" i="1"/>
  <c r="J9" i="1"/>
  <c r="J8" i="1"/>
  <c r="J7" i="1"/>
  <c r="J6" i="1"/>
  <c r="J5" i="1"/>
  <c r="J3" i="1"/>
  <c r="K3" i="1" s="1"/>
  <c r="L3" i="1" s="1"/>
  <c r="M3" i="1" s="1"/>
  <c r="E3" i="1"/>
  <c r="F3" i="1" s="1"/>
  <c r="G3" i="1" s="1"/>
  <c r="H3" i="1" s="1"/>
  <c r="I5" i="1"/>
  <c r="I6" i="1"/>
  <c r="I7" i="1"/>
  <c r="I8" i="1"/>
  <c r="I9" i="1"/>
  <c r="I10" i="1"/>
  <c r="I11" i="1"/>
  <c r="I12" i="1"/>
  <c r="D18" i="1"/>
  <c r="C17" i="1"/>
  <c r="C16" i="1"/>
  <c r="C15" i="1"/>
  <c r="X4" i="1" l="1"/>
</calcChain>
</file>

<file path=xl/sharedStrings.xml><?xml version="1.0" encoding="utf-8"?>
<sst xmlns="http://schemas.openxmlformats.org/spreadsheetml/2006/main" count="33" uniqueCount="31">
  <si>
    <t>Employee Payroll</t>
  </si>
  <si>
    <t>Last Name</t>
  </si>
  <si>
    <t>First Name</t>
  </si>
  <si>
    <t>Hourly Wage</t>
  </si>
  <si>
    <t>Hours Worked</t>
  </si>
  <si>
    <t>Pay</t>
  </si>
  <si>
    <t>Heather</t>
  </si>
  <si>
    <t>Rose</t>
  </si>
  <si>
    <t>Ray</t>
  </si>
  <si>
    <t>Ron</t>
  </si>
  <si>
    <t>Kent</t>
  </si>
  <si>
    <t>Grace</t>
  </si>
  <si>
    <t>Ryan</t>
  </si>
  <si>
    <t>Glory</t>
  </si>
  <si>
    <t>Dion</t>
  </si>
  <si>
    <t>Riele</t>
  </si>
  <si>
    <t>Daniel</t>
  </si>
  <si>
    <t>Jemimah</t>
  </si>
  <si>
    <t>Kim</t>
  </si>
  <si>
    <t>Rosa</t>
  </si>
  <si>
    <t>Lee</t>
  </si>
  <si>
    <t>Smith</t>
  </si>
  <si>
    <t>Sarah</t>
  </si>
  <si>
    <t>Max</t>
  </si>
  <si>
    <t>Min</t>
  </si>
  <si>
    <t>Average</t>
  </si>
  <si>
    <t>Total</t>
  </si>
  <si>
    <t>Oluwakemi</t>
  </si>
  <si>
    <t>Overtime Hours</t>
  </si>
  <si>
    <t>Overtime Bonus</t>
  </si>
  <si>
    <t>January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</si>
</sst>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4" formatCode="_-[$$-409]* #,##0.00_ ;_-[$$-409]* \-#,##0.00\ ;_-[$$-409]* &quot;-&quot;??_ ;_-@_ "/>
  </numFmts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0" applyNumberFormat="1"/>
    <xf numFmtId="16" fontId="0" fillId="6" borderId="0" xfId="0" applyNumberFormat="1" applyFill="1"/>
    <xf numFmtId="164" fontId="0" fillId="6" borderId="0" xfId="0" applyNumberFormat="1" applyFill="1"/>
    <xf numFmtId="16" fontId="0" fillId="2" borderId="0" xfId="0" applyNumberFormat="1" applyFill="1" applyBorder="1"/>
    <xf numFmtId="16" fontId="0" fillId="3" borderId="0" xfId="0" applyNumberFormat="1" applyFill="1" applyBorder="1"/>
    <xf numFmtId="16" fontId="0" fillId="4" borderId="0" xfId="0" applyNumberFormat="1" applyFill="1" applyBorder="1"/>
    <xf numFmtId="16" fontId="0" fillId="5" borderId="0" xfId="0" applyNumberFormat="1" applyFill="1" applyBorder="1"/>
    <xf numFmtId="0" fontId="0" fillId="2" borderId="0" xfId="0" applyFill="1" applyBorder="1"/>
    <xf numFmtId="0" fontId="0" fillId="3" borderId="0" xfId="0" applyFill="1" applyBorder="1"/>
    <xf numFmtId="164" fontId="0" fillId="4" borderId="0" xfId="0" applyNumberFormat="1" applyFill="1" applyBorder="1"/>
    <xf numFmtId="164" fontId="1" fillId="5" borderId="0" xfId="0" applyNumberFormat="1" applyFont="1" applyFill="1" applyBorder="1"/>
    <xf numFmtId="0" fontId="0" fillId="0" borderId="0" xfId="0" applyFill="1" applyBorder="1"/>
    <xf numFmtId="164" fontId="0" fillId="0" borderId="0" xfId="0" applyNumberFormat="1" applyFill="1" applyBorder="1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DCE2B-9F99-45AB-BFDA-3F3AC6C03050}">
  <sheetPr>
    <pageSetUpPr fitToPage="1"/>
  </sheetPr>
  <dimension ref="A1:AC18"/>
  <sheetViews>
    <sheetView tabSelected="1" topLeftCell="M1" workbookViewId="0">
      <selection activeCell="AA9" sqref="AA9"/>
    </sheetView>
  </sheetViews>
  <sheetFormatPr defaultRowHeight="15" x14ac:dyDescent="0.25"/>
  <cols>
    <col min="1" max="1" width="16.42578125" customWidth="1"/>
    <col min="2" max="2" width="17.7109375" customWidth="1"/>
    <col min="3" max="3" width="13" customWidth="1"/>
    <col min="4" max="13" width="15.7109375" customWidth="1"/>
    <col min="14" max="14" width="10.5703125" bestFit="1" customWidth="1"/>
    <col min="15" max="18" width="10.28515625" customWidth="1"/>
    <col min="19" max="23" width="14.5703125" customWidth="1"/>
    <col min="24" max="24" width="12.85546875" customWidth="1"/>
    <col min="25" max="28" width="10.5703125" bestFit="1" customWidth="1"/>
    <col min="29" max="29" width="11.42578125" bestFit="1" customWidth="1"/>
  </cols>
  <sheetData>
    <row r="1" spans="1:29" x14ac:dyDescent="0.25">
      <c r="A1" t="s">
        <v>0</v>
      </c>
      <c r="C1" t="s">
        <v>27</v>
      </c>
    </row>
    <row r="2" spans="1:29" x14ac:dyDescent="0.25">
      <c r="D2" t="s">
        <v>4</v>
      </c>
      <c r="I2" t="s">
        <v>28</v>
      </c>
      <c r="N2" t="s">
        <v>5</v>
      </c>
      <c r="S2" t="s">
        <v>29</v>
      </c>
      <c r="X2" t="s">
        <v>26</v>
      </c>
      <c r="AC2" t="s">
        <v>30</v>
      </c>
    </row>
    <row r="3" spans="1:29" x14ac:dyDescent="0.25">
      <c r="A3" t="s">
        <v>1</v>
      </c>
      <c r="B3" t="s">
        <v>2</v>
      </c>
      <c r="C3" s="12" t="s">
        <v>3</v>
      </c>
      <c r="D3" s="4">
        <v>46023</v>
      </c>
      <c r="E3" s="4">
        <f>D3+7</f>
        <v>46030</v>
      </c>
      <c r="F3" s="4">
        <f t="shared" ref="F3:H3" si="0">E3+7</f>
        <v>46037</v>
      </c>
      <c r="G3" s="4">
        <f t="shared" si="0"/>
        <v>46044</v>
      </c>
      <c r="H3" s="4">
        <f t="shared" si="0"/>
        <v>46051</v>
      </c>
      <c r="I3" s="5">
        <v>46023</v>
      </c>
      <c r="J3" s="5">
        <f>I3+7</f>
        <v>46030</v>
      </c>
      <c r="K3" s="5">
        <f t="shared" ref="K3:M3" si="1">J3+7</f>
        <v>46037</v>
      </c>
      <c r="L3" s="5">
        <f t="shared" si="1"/>
        <v>46044</v>
      </c>
      <c r="M3" s="5">
        <f t="shared" si="1"/>
        <v>46051</v>
      </c>
      <c r="N3" s="6">
        <v>46023</v>
      </c>
      <c r="O3" s="6">
        <f>N3+7</f>
        <v>46030</v>
      </c>
      <c r="P3" s="6">
        <f t="shared" ref="P3:R3" si="2">O3+7</f>
        <v>46037</v>
      </c>
      <c r="Q3" s="6">
        <f t="shared" si="2"/>
        <v>46044</v>
      </c>
      <c r="R3" s="6">
        <f t="shared" si="2"/>
        <v>46051</v>
      </c>
      <c r="S3" s="7">
        <v>46023</v>
      </c>
      <c r="T3" s="7">
        <f>S3+7</f>
        <v>46030</v>
      </c>
      <c r="U3" s="7">
        <f t="shared" ref="U3:W3" si="3">T3+7</f>
        <v>46037</v>
      </c>
      <c r="V3" s="7">
        <f t="shared" si="3"/>
        <v>46044</v>
      </c>
      <c r="W3" s="7">
        <f t="shared" si="3"/>
        <v>46051</v>
      </c>
      <c r="X3" s="2">
        <v>46023</v>
      </c>
      <c r="Y3" s="2">
        <f>X3+7</f>
        <v>46030</v>
      </c>
      <c r="Z3" s="2">
        <f t="shared" ref="Z3:AB3" si="4">Y3+7</f>
        <v>46037</v>
      </c>
      <c r="AA3" s="2">
        <f t="shared" si="4"/>
        <v>46044</v>
      </c>
      <c r="AB3" s="2">
        <f t="shared" si="4"/>
        <v>46051</v>
      </c>
    </row>
    <row r="4" spans="1:29" x14ac:dyDescent="0.25">
      <c r="A4" t="s">
        <v>6</v>
      </c>
      <c r="B4" t="s">
        <v>7</v>
      </c>
      <c r="C4" s="13">
        <v>13.44</v>
      </c>
      <c r="D4" s="8">
        <v>27</v>
      </c>
      <c r="E4" s="8">
        <v>45</v>
      </c>
      <c r="F4" s="8">
        <v>29</v>
      </c>
      <c r="G4" s="8">
        <v>39</v>
      </c>
      <c r="H4" s="8">
        <v>40</v>
      </c>
      <c r="I4" s="9">
        <f>IF(D4&gt;40,D4-40,0)</f>
        <v>0</v>
      </c>
      <c r="J4" s="9">
        <f>IF(E4&gt;40,E4-40,0)</f>
        <v>5</v>
      </c>
      <c r="K4" s="9">
        <f>IF(F4&gt;40,F4-40,0)</f>
        <v>0</v>
      </c>
      <c r="L4" s="9">
        <f>IF(G4&gt;40,G4-40,0)</f>
        <v>0</v>
      </c>
      <c r="M4" s="9">
        <f>IF(H4&gt;40,H4-40,0)</f>
        <v>0</v>
      </c>
      <c r="N4" s="10">
        <f>$C4*D4</f>
        <v>362.88</v>
      </c>
      <c r="O4" s="10">
        <f>$C4*E4</f>
        <v>604.79999999999995</v>
      </c>
      <c r="P4" s="10">
        <f t="shared" ref="P4:R12" si="5">$C4*F4</f>
        <v>389.76</v>
      </c>
      <c r="Q4" s="10">
        <f t="shared" si="5"/>
        <v>524.16</v>
      </c>
      <c r="R4" s="10">
        <f t="shared" si="5"/>
        <v>537.6</v>
      </c>
      <c r="S4" s="11">
        <f>0.5*I4*$C4</f>
        <v>0</v>
      </c>
      <c r="T4" s="11">
        <f t="shared" ref="T4:T12" si="6">0.5*J4*$C4</f>
        <v>33.6</v>
      </c>
      <c r="U4" s="11">
        <f t="shared" ref="U4:U12" si="7">0.5*K4*$C4</f>
        <v>0</v>
      </c>
      <c r="V4" s="11">
        <f t="shared" ref="V4:V12" si="8">0.5*L4*$C4</f>
        <v>0</v>
      </c>
      <c r="W4" s="11">
        <f t="shared" ref="W4:W12" si="9">0.5*M4*$C4</f>
        <v>0</v>
      </c>
      <c r="X4" s="3">
        <f>N4+S4</f>
        <v>362.88</v>
      </c>
      <c r="Y4" s="3">
        <f t="shared" ref="Y4:Y12" si="10">O4+T4</f>
        <v>638.4</v>
      </c>
      <c r="Z4" s="3">
        <f t="shared" ref="Z4:Z12" si="11">P4+U4</f>
        <v>389.76</v>
      </c>
      <c r="AA4" s="3">
        <f t="shared" ref="AA4:AA12" si="12">Q4+V4</f>
        <v>524.16</v>
      </c>
      <c r="AB4" s="3">
        <f t="shared" ref="AB4:AB12" si="13">R4+W4</f>
        <v>537.6</v>
      </c>
      <c r="AC4" s="1">
        <f>SUM(X4:AB4)</f>
        <v>2452.7999999999997</v>
      </c>
    </row>
    <row r="5" spans="1:29" x14ac:dyDescent="0.25">
      <c r="A5" t="s">
        <v>8</v>
      </c>
      <c r="B5" t="s">
        <v>9</v>
      </c>
      <c r="C5" s="13">
        <v>15.9</v>
      </c>
      <c r="D5" s="8">
        <v>49</v>
      </c>
      <c r="E5" s="8">
        <v>35</v>
      </c>
      <c r="F5" s="8">
        <v>17</v>
      </c>
      <c r="G5" s="8">
        <v>37</v>
      </c>
      <c r="H5" s="8">
        <v>45</v>
      </c>
      <c r="I5" s="9">
        <f>IF(D5&gt;40,D5-40,0)</f>
        <v>9</v>
      </c>
      <c r="J5" s="9">
        <f>IF(E5&gt;40,E5-40,0)</f>
        <v>0</v>
      </c>
      <c r="K5" s="9">
        <f>IF(F5&gt;40,F5-40,0)</f>
        <v>0</v>
      </c>
      <c r="L5" s="9">
        <f>IF(G5&gt;40,G5-40,0)</f>
        <v>0</v>
      </c>
      <c r="M5" s="9">
        <f>IF(H5&gt;40,H5-40,0)</f>
        <v>5</v>
      </c>
      <c r="N5" s="10">
        <f t="shared" ref="N5:O12" si="14">$C5*D5</f>
        <v>779.1</v>
      </c>
      <c r="O5" s="10">
        <f t="shared" si="14"/>
        <v>556.5</v>
      </c>
      <c r="P5" s="10">
        <f t="shared" si="5"/>
        <v>270.3</v>
      </c>
      <c r="Q5" s="10">
        <f t="shared" si="5"/>
        <v>588.30000000000007</v>
      </c>
      <c r="R5" s="10">
        <f t="shared" si="5"/>
        <v>715.5</v>
      </c>
      <c r="S5" s="11">
        <f t="shared" ref="S5:S12" si="15">0.5*I5*$C5</f>
        <v>71.55</v>
      </c>
      <c r="T5" s="11">
        <f t="shared" si="6"/>
        <v>0</v>
      </c>
      <c r="U5" s="11">
        <f t="shared" si="7"/>
        <v>0</v>
      </c>
      <c r="V5" s="11">
        <f t="shared" si="8"/>
        <v>0</v>
      </c>
      <c r="W5" s="11">
        <f t="shared" si="9"/>
        <v>39.75</v>
      </c>
      <c r="X5" s="3">
        <f t="shared" ref="X5:X12" si="16">N5+S5</f>
        <v>850.65</v>
      </c>
      <c r="Y5" s="3">
        <f t="shared" si="10"/>
        <v>556.5</v>
      </c>
      <c r="Z5" s="3">
        <f t="shared" si="11"/>
        <v>270.3</v>
      </c>
      <c r="AA5" s="3">
        <f t="shared" si="12"/>
        <v>588.30000000000007</v>
      </c>
      <c r="AB5" s="3">
        <f t="shared" si="13"/>
        <v>755.25</v>
      </c>
      <c r="AC5" s="1">
        <f t="shared" ref="AC5:AC12" si="17">SUM(X5:AB5)</f>
        <v>3021</v>
      </c>
    </row>
    <row r="6" spans="1:29" x14ac:dyDescent="0.25">
      <c r="A6" t="s">
        <v>10</v>
      </c>
      <c r="B6" t="s">
        <v>11</v>
      </c>
      <c r="C6" s="13">
        <v>10.5</v>
      </c>
      <c r="D6" s="8">
        <v>33</v>
      </c>
      <c r="E6" s="8">
        <v>42</v>
      </c>
      <c r="F6" s="8">
        <v>27</v>
      </c>
      <c r="G6" s="8">
        <v>53</v>
      </c>
      <c r="H6" s="8">
        <v>54</v>
      </c>
      <c r="I6" s="9">
        <f>IF(D6&gt;40,D6-40,0)</f>
        <v>0</v>
      </c>
      <c r="J6" s="9">
        <f>IF(E6&gt;40,E6-40,0)</f>
        <v>2</v>
      </c>
      <c r="K6" s="9">
        <f>IF(F6&gt;40,F6-40,0)</f>
        <v>0</v>
      </c>
      <c r="L6" s="9">
        <f>IF(G6&gt;40,G6-40,0)</f>
        <v>13</v>
      </c>
      <c r="M6" s="9">
        <f>IF(H6&gt;40,H6-40,0)</f>
        <v>14</v>
      </c>
      <c r="N6" s="10">
        <f t="shared" si="14"/>
        <v>346.5</v>
      </c>
      <c r="O6" s="10">
        <f t="shared" si="14"/>
        <v>441</v>
      </c>
      <c r="P6" s="10">
        <f t="shared" si="5"/>
        <v>283.5</v>
      </c>
      <c r="Q6" s="10">
        <f t="shared" si="5"/>
        <v>556.5</v>
      </c>
      <c r="R6" s="10">
        <f t="shared" si="5"/>
        <v>567</v>
      </c>
      <c r="S6" s="11">
        <f t="shared" si="15"/>
        <v>0</v>
      </c>
      <c r="T6" s="11">
        <f t="shared" si="6"/>
        <v>10.5</v>
      </c>
      <c r="U6" s="11">
        <f t="shared" si="7"/>
        <v>0</v>
      </c>
      <c r="V6" s="11">
        <f t="shared" si="8"/>
        <v>68.25</v>
      </c>
      <c r="W6" s="11">
        <f t="shared" si="9"/>
        <v>73.5</v>
      </c>
      <c r="X6" s="3">
        <f t="shared" si="16"/>
        <v>346.5</v>
      </c>
      <c r="Y6" s="3">
        <f t="shared" si="10"/>
        <v>451.5</v>
      </c>
      <c r="Z6" s="3">
        <f t="shared" si="11"/>
        <v>283.5</v>
      </c>
      <c r="AA6" s="3">
        <f t="shared" si="12"/>
        <v>624.75</v>
      </c>
      <c r="AB6" s="3">
        <f t="shared" si="13"/>
        <v>640.5</v>
      </c>
      <c r="AC6" s="1">
        <f t="shared" si="17"/>
        <v>2346.75</v>
      </c>
    </row>
    <row r="7" spans="1:29" x14ac:dyDescent="0.25">
      <c r="A7" t="s">
        <v>12</v>
      </c>
      <c r="B7" t="s">
        <v>13</v>
      </c>
      <c r="C7" s="13">
        <v>17.399999999999999</v>
      </c>
      <c r="D7" s="8">
        <v>40</v>
      </c>
      <c r="E7" s="8">
        <v>43</v>
      </c>
      <c r="F7" s="8">
        <v>42</v>
      </c>
      <c r="G7" s="8">
        <v>41</v>
      </c>
      <c r="H7" s="8">
        <v>43</v>
      </c>
      <c r="I7" s="9">
        <f>IF(D7&gt;40,D7-40,0)</f>
        <v>0</v>
      </c>
      <c r="J7" s="9">
        <f>IF(E7&gt;40,E7-40,0)</f>
        <v>3</v>
      </c>
      <c r="K7" s="9">
        <f>IF(F7&gt;40,F7-40,0)</f>
        <v>2</v>
      </c>
      <c r="L7" s="9">
        <f>IF(G7&gt;40,G7-40,0)</f>
        <v>1</v>
      </c>
      <c r="M7" s="9">
        <f>IF(H7&gt;40,H7-40,0)</f>
        <v>3</v>
      </c>
      <c r="N7" s="10">
        <f t="shared" si="14"/>
        <v>696</v>
      </c>
      <c r="O7" s="10">
        <f t="shared" si="14"/>
        <v>748.19999999999993</v>
      </c>
      <c r="P7" s="10">
        <f t="shared" si="5"/>
        <v>730.8</v>
      </c>
      <c r="Q7" s="10">
        <f t="shared" si="5"/>
        <v>713.4</v>
      </c>
      <c r="R7" s="10">
        <f t="shared" si="5"/>
        <v>748.19999999999993</v>
      </c>
      <c r="S7" s="11">
        <f t="shared" si="15"/>
        <v>0</v>
      </c>
      <c r="T7" s="11">
        <f t="shared" si="6"/>
        <v>26.099999999999998</v>
      </c>
      <c r="U7" s="11">
        <f t="shared" si="7"/>
        <v>17.399999999999999</v>
      </c>
      <c r="V7" s="11">
        <f t="shared" si="8"/>
        <v>8.6999999999999993</v>
      </c>
      <c r="W7" s="11">
        <f t="shared" si="9"/>
        <v>26.099999999999998</v>
      </c>
      <c r="X7" s="3">
        <f t="shared" si="16"/>
        <v>696</v>
      </c>
      <c r="Y7" s="3">
        <f t="shared" si="10"/>
        <v>774.3</v>
      </c>
      <c r="Z7" s="3">
        <f t="shared" si="11"/>
        <v>748.19999999999993</v>
      </c>
      <c r="AA7" s="3">
        <f t="shared" si="12"/>
        <v>722.1</v>
      </c>
      <c r="AB7" s="3">
        <f t="shared" si="13"/>
        <v>774.3</v>
      </c>
      <c r="AC7" s="1">
        <f t="shared" si="17"/>
        <v>3714.8999999999996</v>
      </c>
    </row>
    <row r="8" spans="1:29" x14ac:dyDescent="0.25">
      <c r="A8" t="s">
        <v>14</v>
      </c>
      <c r="B8" t="s">
        <v>15</v>
      </c>
      <c r="C8" s="13">
        <v>11.2</v>
      </c>
      <c r="D8" s="8">
        <v>41</v>
      </c>
      <c r="E8" s="8">
        <v>40</v>
      </c>
      <c r="F8" s="8">
        <v>55</v>
      </c>
      <c r="G8" s="8">
        <v>53</v>
      </c>
      <c r="H8" s="8">
        <v>34</v>
      </c>
      <c r="I8" s="9">
        <f>IF(D8&gt;40,D8-40,0)</f>
        <v>1</v>
      </c>
      <c r="J8" s="9">
        <f>IF(E8&gt;40,E8-40,0)</f>
        <v>0</v>
      </c>
      <c r="K8" s="9">
        <f>IF(F8&gt;40,F8-40,0)</f>
        <v>15</v>
      </c>
      <c r="L8" s="9">
        <f>IF(G8&gt;40,G8-40,0)</f>
        <v>13</v>
      </c>
      <c r="M8" s="9">
        <f>IF(H8&gt;40,H8-40,0)</f>
        <v>0</v>
      </c>
      <c r="N8" s="10">
        <f t="shared" si="14"/>
        <v>459.2</v>
      </c>
      <c r="O8" s="10">
        <f t="shared" si="14"/>
        <v>448</v>
      </c>
      <c r="P8" s="10">
        <f t="shared" si="5"/>
        <v>616</v>
      </c>
      <c r="Q8" s="10">
        <f t="shared" si="5"/>
        <v>593.59999999999991</v>
      </c>
      <c r="R8" s="10">
        <f t="shared" si="5"/>
        <v>380.79999999999995</v>
      </c>
      <c r="S8" s="11">
        <f t="shared" si="15"/>
        <v>5.6</v>
      </c>
      <c r="T8" s="11">
        <f t="shared" si="6"/>
        <v>0</v>
      </c>
      <c r="U8" s="11">
        <f t="shared" si="7"/>
        <v>84</v>
      </c>
      <c r="V8" s="11">
        <f t="shared" si="8"/>
        <v>72.8</v>
      </c>
      <c r="W8" s="11">
        <f t="shared" si="9"/>
        <v>0</v>
      </c>
      <c r="X8" s="3">
        <f t="shared" si="16"/>
        <v>464.8</v>
      </c>
      <c r="Y8" s="3">
        <f t="shared" si="10"/>
        <v>448</v>
      </c>
      <c r="Z8" s="3">
        <f>P8+U8</f>
        <v>700</v>
      </c>
      <c r="AA8" s="3">
        <f t="shared" si="12"/>
        <v>666.39999999999986</v>
      </c>
      <c r="AB8" s="3">
        <f t="shared" si="13"/>
        <v>380.79999999999995</v>
      </c>
      <c r="AC8" s="1">
        <f t="shared" si="17"/>
        <v>2660</v>
      </c>
    </row>
    <row r="9" spans="1:29" x14ac:dyDescent="0.25">
      <c r="A9" t="s">
        <v>16</v>
      </c>
      <c r="B9" t="s">
        <v>17</v>
      </c>
      <c r="C9" s="13">
        <v>20.7</v>
      </c>
      <c r="D9" s="8">
        <v>45</v>
      </c>
      <c r="E9" s="8">
        <v>29</v>
      </c>
      <c r="F9" s="8">
        <v>45</v>
      </c>
      <c r="G9" s="8">
        <v>45</v>
      </c>
      <c r="H9" s="8">
        <v>32</v>
      </c>
      <c r="I9" s="9">
        <f>IF(D9&gt;40,D9-40,0)</f>
        <v>5</v>
      </c>
      <c r="J9" s="9">
        <f>IF(E9&gt;40,E9-40,0)</f>
        <v>0</v>
      </c>
      <c r="K9" s="9">
        <f>IF(F9&gt;40,F9-40,0)</f>
        <v>5</v>
      </c>
      <c r="L9" s="9">
        <f>IF(G9&gt;40,G9-40,0)</f>
        <v>5</v>
      </c>
      <c r="M9" s="9">
        <f>IF(H9&gt;40,H9-40,0)</f>
        <v>0</v>
      </c>
      <c r="N9" s="10">
        <f t="shared" si="14"/>
        <v>931.5</v>
      </c>
      <c r="O9" s="10">
        <f t="shared" si="14"/>
        <v>600.29999999999995</v>
      </c>
      <c r="P9" s="10">
        <f t="shared" si="5"/>
        <v>931.5</v>
      </c>
      <c r="Q9" s="10">
        <f t="shared" si="5"/>
        <v>931.5</v>
      </c>
      <c r="R9" s="10">
        <f t="shared" si="5"/>
        <v>662.4</v>
      </c>
      <c r="S9" s="11">
        <f t="shared" si="15"/>
        <v>51.75</v>
      </c>
      <c r="T9" s="11">
        <f t="shared" si="6"/>
        <v>0</v>
      </c>
      <c r="U9" s="11">
        <f t="shared" si="7"/>
        <v>51.75</v>
      </c>
      <c r="V9" s="11">
        <f t="shared" si="8"/>
        <v>51.75</v>
      </c>
      <c r="W9" s="11">
        <f t="shared" si="9"/>
        <v>0</v>
      </c>
      <c r="X9" s="3">
        <f t="shared" si="16"/>
        <v>983.25</v>
      </c>
      <c r="Y9" s="3">
        <f t="shared" si="10"/>
        <v>600.29999999999995</v>
      </c>
      <c r="Z9" s="3">
        <f t="shared" si="11"/>
        <v>983.25</v>
      </c>
      <c r="AA9" s="3">
        <f t="shared" si="12"/>
        <v>983.25</v>
      </c>
      <c r="AB9" s="3">
        <f t="shared" si="13"/>
        <v>662.4</v>
      </c>
      <c r="AC9" s="1">
        <f t="shared" si="17"/>
        <v>4212.45</v>
      </c>
    </row>
    <row r="10" spans="1:29" x14ac:dyDescent="0.25">
      <c r="A10" t="s">
        <v>18</v>
      </c>
      <c r="B10" t="s">
        <v>19</v>
      </c>
      <c r="C10" s="13">
        <v>8.98</v>
      </c>
      <c r="D10" s="8">
        <v>31</v>
      </c>
      <c r="E10" s="8">
        <v>31</v>
      </c>
      <c r="F10" s="8">
        <v>39</v>
      </c>
      <c r="G10" s="8">
        <v>47</v>
      </c>
      <c r="H10" s="8">
        <v>23</v>
      </c>
      <c r="I10" s="9">
        <f>IF(D10&gt;40,D10-40,0)</f>
        <v>0</v>
      </c>
      <c r="J10" s="9">
        <f>IF(E10&gt;40,E10-40,0)</f>
        <v>0</v>
      </c>
      <c r="K10" s="9">
        <f>IF(F10&gt;40,F10-40,0)</f>
        <v>0</v>
      </c>
      <c r="L10" s="9">
        <f>IF(G10&gt;40,G10-40,0)</f>
        <v>7</v>
      </c>
      <c r="M10" s="9">
        <f>IF(H10&gt;40,H10-40,0)</f>
        <v>0</v>
      </c>
      <c r="N10" s="10">
        <f t="shared" si="14"/>
        <v>278.38</v>
      </c>
      <c r="O10" s="10">
        <f t="shared" si="14"/>
        <v>278.38</v>
      </c>
      <c r="P10" s="10">
        <f t="shared" si="5"/>
        <v>350.22</v>
      </c>
      <c r="Q10" s="10">
        <f t="shared" si="5"/>
        <v>422.06</v>
      </c>
      <c r="R10" s="10">
        <f t="shared" si="5"/>
        <v>206.54000000000002</v>
      </c>
      <c r="S10" s="11">
        <f t="shared" si="15"/>
        <v>0</v>
      </c>
      <c r="T10" s="11">
        <f t="shared" si="6"/>
        <v>0</v>
      </c>
      <c r="U10" s="11">
        <f t="shared" si="7"/>
        <v>0</v>
      </c>
      <c r="V10" s="11">
        <f t="shared" si="8"/>
        <v>31.43</v>
      </c>
      <c r="W10" s="11">
        <f t="shared" si="9"/>
        <v>0</v>
      </c>
      <c r="X10" s="3">
        <f t="shared" si="16"/>
        <v>278.38</v>
      </c>
      <c r="Y10" s="3">
        <f t="shared" si="10"/>
        <v>278.38</v>
      </c>
      <c r="Z10" s="3">
        <f t="shared" si="11"/>
        <v>350.22</v>
      </c>
      <c r="AA10" s="3">
        <f t="shared" si="12"/>
        <v>453.49</v>
      </c>
      <c r="AB10" s="3">
        <f t="shared" si="13"/>
        <v>206.54000000000002</v>
      </c>
      <c r="AC10" s="1">
        <f t="shared" si="17"/>
        <v>1567.01</v>
      </c>
    </row>
    <row r="11" spans="1:29" x14ac:dyDescent="0.25">
      <c r="A11" t="s">
        <v>20</v>
      </c>
      <c r="B11" t="s">
        <v>21</v>
      </c>
      <c r="C11" s="13">
        <v>19</v>
      </c>
      <c r="D11" s="8">
        <v>42</v>
      </c>
      <c r="E11" s="8">
        <v>42</v>
      </c>
      <c r="F11" s="8">
        <v>31</v>
      </c>
      <c r="G11" s="8">
        <v>42</v>
      </c>
      <c r="H11" s="8">
        <v>46</v>
      </c>
      <c r="I11" s="9">
        <f>IF(D11&gt;40,D11-40,0)</f>
        <v>2</v>
      </c>
      <c r="J11" s="9">
        <f>IF(E11&gt;40,E11-40,0)</f>
        <v>2</v>
      </c>
      <c r="K11" s="9">
        <f>IF(F11&gt;40,F11-40,0)</f>
        <v>0</v>
      </c>
      <c r="L11" s="9">
        <f>IF(G11&gt;40,G11-40,0)</f>
        <v>2</v>
      </c>
      <c r="M11" s="9">
        <f>IF(H11&gt;40,H11-40,0)</f>
        <v>6</v>
      </c>
      <c r="N11" s="10">
        <f t="shared" si="14"/>
        <v>798</v>
      </c>
      <c r="O11" s="10">
        <f t="shared" si="14"/>
        <v>798</v>
      </c>
      <c r="P11" s="10">
        <f t="shared" si="5"/>
        <v>589</v>
      </c>
      <c r="Q11" s="10">
        <f t="shared" si="5"/>
        <v>798</v>
      </c>
      <c r="R11" s="10">
        <f t="shared" si="5"/>
        <v>874</v>
      </c>
      <c r="S11" s="11">
        <f t="shared" si="15"/>
        <v>19</v>
      </c>
      <c r="T11" s="11">
        <f t="shared" si="6"/>
        <v>19</v>
      </c>
      <c r="U11" s="11">
        <f t="shared" si="7"/>
        <v>0</v>
      </c>
      <c r="V11" s="11">
        <f t="shared" si="8"/>
        <v>19</v>
      </c>
      <c r="W11" s="11">
        <f t="shared" si="9"/>
        <v>57</v>
      </c>
      <c r="X11" s="3">
        <f t="shared" si="16"/>
        <v>817</v>
      </c>
      <c r="Y11" s="3">
        <f t="shared" si="10"/>
        <v>817</v>
      </c>
      <c r="Z11" s="3">
        <f t="shared" si="11"/>
        <v>589</v>
      </c>
      <c r="AA11" s="3">
        <f t="shared" si="12"/>
        <v>817</v>
      </c>
      <c r="AB11" s="3">
        <f t="shared" si="13"/>
        <v>931</v>
      </c>
      <c r="AC11" s="1">
        <f t="shared" si="17"/>
        <v>3971</v>
      </c>
    </row>
    <row r="12" spans="1:29" x14ac:dyDescent="0.25">
      <c r="A12" t="s">
        <v>18</v>
      </c>
      <c r="B12" t="s">
        <v>22</v>
      </c>
      <c r="C12" s="13">
        <v>14.8</v>
      </c>
      <c r="D12" s="8">
        <v>16</v>
      </c>
      <c r="E12" s="8">
        <v>44</v>
      </c>
      <c r="F12" s="8">
        <v>21</v>
      </c>
      <c r="G12" s="8">
        <v>47</v>
      </c>
      <c r="H12" s="8">
        <v>45</v>
      </c>
      <c r="I12" s="9">
        <f>IF(D12&gt;40,D12-40,0)</f>
        <v>0</v>
      </c>
      <c r="J12" s="9">
        <f>IF(E12&gt;40,E12-40,0)</f>
        <v>4</v>
      </c>
      <c r="K12" s="9">
        <f>IF(F12&gt;40,F12-40,0)</f>
        <v>0</v>
      </c>
      <c r="L12" s="9">
        <f>IF(G12&gt;40,G12-40,0)</f>
        <v>7</v>
      </c>
      <c r="M12" s="9">
        <f>IF(H12&gt;40,H12-40,0)</f>
        <v>5</v>
      </c>
      <c r="N12" s="10">
        <f t="shared" si="14"/>
        <v>236.8</v>
      </c>
      <c r="O12" s="10">
        <f t="shared" si="14"/>
        <v>651.20000000000005</v>
      </c>
      <c r="P12" s="10">
        <f t="shared" si="5"/>
        <v>310.8</v>
      </c>
      <c r="Q12" s="10">
        <f t="shared" si="5"/>
        <v>695.6</v>
      </c>
      <c r="R12" s="10">
        <f t="shared" si="5"/>
        <v>666</v>
      </c>
      <c r="S12" s="11">
        <f t="shared" si="15"/>
        <v>0</v>
      </c>
      <c r="T12" s="11">
        <f t="shared" si="6"/>
        <v>29.6</v>
      </c>
      <c r="U12" s="11">
        <f t="shared" si="7"/>
        <v>0</v>
      </c>
      <c r="V12" s="11">
        <f t="shared" si="8"/>
        <v>51.800000000000004</v>
      </c>
      <c r="W12" s="11">
        <f t="shared" si="9"/>
        <v>37</v>
      </c>
      <c r="X12" s="3">
        <f t="shared" si="16"/>
        <v>236.8</v>
      </c>
      <c r="Y12" s="3">
        <f t="shared" si="10"/>
        <v>680.80000000000007</v>
      </c>
      <c r="Z12" s="3">
        <f t="shared" si="11"/>
        <v>310.8</v>
      </c>
      <c r="AA12" s="3">
        <f t="shared" si="12"/>
        <v>747.4</v>
      </c>
      <c r="AB12" s="3">
        <f t="shared" si="13"/>
        <v>703</v>
      </c>
      <c r="AC12" s="1">
        <f t="shared" si="17"/>
        <v>2678.8</v>
      </c>
    </row>
    <row r="15" spans="1:29" x14ac:dyDescent="0.25">
      <c r="A15" t="s">
        <v>23</v>
      </c>
      <c r="C15" s="1">
        <f>MAX(C4:C12)</f>
        <v>20.7</v>
      </c>
      <c r="D15" s="1">
        <f t="shared" ref="D15:AC15" si="18">MAX(D4:D12)</f>
        <v>49</v>
      </c>
      <c r="E15" s="1">
        <f t="shared" si="18"/>
        <v>45</v>
      </c>
      <c r="F15" s="1">
        <f t="shared" si="18"/>
        <v>55</v>
      </c>
      <c r="G15" s="1">
        <f t="shared" si="18"/>
        <v>53</v>
      </c>
      <c r="H15" s="1">
        <f t="shared" si="18"/>
        <v>54</v>
      </c>
      <c r="I15" s="1">
        <f t="shared" si="18"/>
        <v>9</v>
      </c>
      <c r="J15" s="1">
        <f t="shared" si="18"/>
        <v>5</v>
      </c>
      <c r="K15" s="1">
        <f t="shared" si="18"/>
        <v>15</v>
      </c>
      <c r="L15" s="1">
        <f t="shared" si="18"/>
        <v>13</v>
      </c>
      <c r="M15" s="1">
        <f t="shared" si="18"/>
        <v>14</v>
      </c>
      <c r="N15" s="1">
        <f t="shared" si="18"/>
        <v>931.5</v>
      </c>
      <c r="O15" s="1">
        <f t="shared" si="18"/>
        <v>798</v>
      </c>
      <c r="P15" s="1">
        <f t="shared" si="18"/>
        <v>931.5</v>
      </c>
      <c r="Q15" s="1">
        <f t="shared" si="18"/>
        <v>931.5</v>
      </c>
      <c r="R15" s="1">
        <f t="shared" si="18"/>
        <v>874</v>
      </c>
      <c r="S15" s="1">
        <f t="shared" si="18"/>
        <v>71.55</v>
      </c>
      <c r="T15" s="1">
        <f t="shared" si="18"/>
        <v>33.6</v>
      </c>
      <c r="U15" s="1">
        <f t="shared" si="18"/>
        <v>84</v>
      </c>
      <c r="V15" s="1">
        <f t="shared" si="18"/>
        <v>72.8</v>
      </c>
      <c r="W15" s="1">
        <f t="shared" si="18"/>
        <v>73.5</v>
      </c>
      <c r="X15" s="1">
        <f t="shared" si="18"/>
        <v>983.25</v>
      </c>
      <c r="Y15" s="1">
        <f t="shared" si="18"/>
        <v>817</v>
      </c>
      <c r="Z15" s="1">
        <f t="shared" si="18"/>
        <v>983.25</v>
      </c>
      <c r="AA15" s="1">
        <f t="shared" si="18"/>
        <v>983.25</v>
      </c>
      <c r="AB15" s="1">
        <f t="shared" si="18"/>
        <v>931</v>
      </c>
      <c r="AC15" s="1">
        <f t="shared" ref="AC15" si="19">MAX(AC4:AC12)</f>
        <v>4212.45</v>
      </c>
    </row>
    <row r="16" spans="1:29" x14ac:dyDescent="0.25">
      <c r="A16" t="s">
        <v>24</v>
      </c>
      <c r="C16" s="1">
        <f>MIN(C4:C12)</f>
        <v>8.98</v>
      </c>
      <c r="D16" s="1">
        <f t="shared" ref="D16:AC16" si="20">MIN(D4:D12)</f>
        <v>16</v>
      </c>
      <c r="E16" s="1">
        <f t="shared" si="20"/>
        <v>29</v>
      </c>
      <c r="F16" s="1">
        <f t="shared" si="20"/>
        <v>17</v>
      </c>
      <c r="G16" s="1">
        <f t="shared" si="20"/>
        <v>37</v>
      </c>
      <c r="H16" s="1">
        <f t="shared" si="20"/>
        <v>23</v>
      </c>
      <c r="I16" s="1">
        <f t="shared" si="20"/>
        <v>0</v>
      </c>
      <c r="J16" s="1">
        <f t="shared" si="20"/>
        <v>0</v>
      </c>
      <c r="K16" s="1">
        <f t="shared" si="20"/>
        <v>0</v>
      </c>
      <c r="L16" s="1">
        <f t="shared" si="20"/>
        <v>0</v>
      </c>
      <c r="M16" s="1">
        <f t="shared" si="20"/>
        <v>0</v>
      </c>
      <c r="N16" s="1">
        <f t="shared" si="20"/>
        <v>236.8</v>
      </c>
      <c r="O16" s="1">
        <f t="shared" si="20"/>
        <v>278.38</v>
      </c>
      <c r="P16" s="1">
        <f t="shared" si="20"/>
        <v>270.3</v>
      </c>
      <c r="Q16" s="1">
        <f t="shared" si="20"/>
        <v>422.06</v>
      </c>
      <c r="R16" s="1">
        <f t="shared" si="20"/>
        <v>206.54000000000002</v>
      </c>
      <c r="S16" s="1">
        <f t="shared" si="20"/>
        <v>0</v>
      </c>
      <c r="T16" s="1">
        <f t="shared" si="20"/>
        <v>0</v>
      </c>
      <c r="U16" s="1">
        <f t="shared" si="20"/>
        <v>0</v>
      </c>
      <c r="V16" s="1">
        <f t="shared" si="20"/>
        <v>0</v>
      </c>
      <c r="W16" s="1">
        <f t="shared" si="20"/>
        <v>0</v>
      </c>
      <c r="X16" s="1">
        <f t="shared" si="20"/>
        <v>236.8</v>
      </c>
      <c r="Y16" s="1">
        <f t="shared" si="20"/>
        <v>278.38</v>
      </c>
      <c r="Z16" s="1">
        <f t="shared" si="20"/>
        <v>270.3</v>
      </c>
      <c r="AA16" s="1">
        <f t="shared" si="20"/>
        <v>453.49</v>
      </c>
      <c r="AB16" s="1">
        <f t="shared" si="20"/>
        <v>206.54000000000002</v>
      </c>
      <c r="AC16" s="1">
        <f t="shared" ref="AC16" si="21">MIN(AC4:AC12)</f>
        <v>1567.01</v>
      </c>
    </row>
    <row r="17" spans="1:29" x14ac:dyDescent="0.25">
      <c r="A17" t="s">
        <v>25</v>
      </c>
      <c r="C17" s="1">
        <f>AVERAGE(C4:C12)</f>
        <v>14.657777777777779</v>
      </c>
      <c r="D17" s="1">
        <f t="shared" ref="D17:AC17" si="22">AVERAGE(D4:D12)</f>
        <v>36</v>
      </c>
      <c r="E17" s="1">
        <f t="shared" si="22"/>
        <v>39</v>
      </c>
      <c r="F17" s="1">
        <f t="shared" si="22"/>
        <v>34</v>
      </c>
      <c r="G17" s="1">
        <f t="shared" si="22"/>
        <v>44.888888888888886</v>
      </c>
      <c r="H17" s="1">
        <f t="shared" si="22"/>
        <v>40.222222222222221</v>
      </c>
      <c r="I17" s="1">
        <f t="shared" si="22"/>
        <v>1.8888888888888888</v>
      </c>
      <c r="J17" s="1">
        <f t="shared" si="22"/>
        <v>1.7777777777777777</v>
      </c>
      <c r="K17" s="1">
        <f t="shared" si="22"/>
        <v>2.4444444444444446</v>
      </c>
      <c r="L17" s="1">
        <f t="shared" si="22"/>
        <v>5.333333333333333</v>
      </c>
      <c r="M17" s="1">
        <f t="shared" si="22"/>
        <v>3.6666666666666665</v>
      </c>
      <c r="N17" s="1">
        <f t="shared" si="22"/>
        <v>543.15111111111105</v>
      </c>
      <c r="O17" s="1">
        <f t="shared" si="22"/>
        <v>569.59777777777776</v>
      </c>
      <c r="P17" s="1">
        <f t="shared" si="22"/>
        <v>496.87555555555559</v>
      </c>
      <c r="Q17" s="1">
        <f t="shared" si="22"/>
        <v>647.01333333333343</v>
      </c>
      <c r="R17" s="1">
        <f t="shared" si="22"/>
        <v>595.33777777777766</v>
      </c>
      <c r="S17" s="1">
        <f t="shared" si="22"/>
        <v>16.43333333333333</v>
      </c>
      <c r="T17" s="1">
        <f t="shared" si="22"/>
        <v>13.200000000000001</v>
      </c>
      <c r="U17" s="1">
        <f t="shared" si="22"/>
        <v>17.016666666666666</v>
      </c>
      <c r="V17" s="1">
        <f t="shared" si="22"/>
        <v>33.747777777777777</v>
      </c>
      <c r="W17" s="1">
        <f t="shared" si="22"/>
        <v>25.927777777777777</v>
      </c>
      <c r="X17" s="1">
        <f t="shared" si="22"/>
        <v>559.58444444444444</v>
      </c>
      <c r="Y17" s="1">
        <f t="shared" si="22"/>
        <v>582.79777777777781</v>
      </c>
      <c r="Z17" s="1">
        <f t="shared" si="22"/>
        <v>513.89222222222224</v>
      </c>
      <c r="AA17" s="1">
        <f t="shared" si="22"/>
        <v>680.76111111111106</v>
      </c>
      <c r="AB17" s="1">
        <f t="shared" si="22"/>
        <v>621.26555555555547</v>
      </c>
      <c r="AC17" s="1">
        <f t="shared" ref="AC17" si="23">AVERAGE(AC4:AC12)</f>
        <v>2958.3011111111105</v>
      </c>
    </row>
    <row r="18" spans="1:29" x14ac:dyDescent="0.25">
      <c r="A18" t="s">
        <v>26</v>
      </c>
      <c r="D18">
        <f>SUM(D4:D12)</f>
        <v>324</v>
      </c>
      <c r="E18">
        <f t="shared" ref="E18:AB18" si="24">SUM(E4:E12)</f>
        <v>351</v>
      </c>
      <c r="F18">
        <f t="shared" si="24"/>
        <v>306</v>
      </c>
      <c r="G18">
        <f t="shared" si="24"/>
        <v>404</v>
      </c>
      <c r="H18">
        <f t="shared" si="24"/>
        <v>362</v>
      </c>
      <c r="I18">
        <f t="shared" si="24"/>
        <v>17</v>
      </c>
      <c r="J18">
        <f t="shared" si="24"/>
        <v>16</v>
      </c>
      <c r="K18">
        <f t="shared" si="24"/>
        <v>22</v>
      </c>
      <c r="L18">
        <f t="shared" si="24"/>
        <v>48</v>
      </c>
      <c r="M18">
        <f t="shared" si="24"/>
        <v>33</v>
      </c>
      <c r="N18" s="14">
        <f t="shared" si="24"/>
        <v>4888.3599999999997</v>
      </c>
      <c r="O18" s="14">
        <f t="shared" si="24"/>
        <v>5126.38</v>
      </c>
      <c r="P18" s="14">
        <f t="shared" si="24"/>
        <v>4471.88</v>
      </c>
      <c r="Q18" s="14">
        <f t="shared" si="24"/>
        <v>5823.1200000000008</v>
      </c>
      <c r="R18" s="14">
        <f t="shared" si="24"/>
        <v>5358.0399999999991</v>
      </c>
      <c r="S18" s="14">
        <f t="shared" si="24"/>
        <v>147.89999999999998</v>
      </c>
      <c r="T18" s="14">
        <f t="shared" si="24"/>
        <v>118.80000000000001</v>
      </c>
      <c r="U18" s="14">
        <f t="shared" si="24"/>
        <v>153.15</v>
      </c>
      <c r="V18" s="14">
        <f t="shared" si="24"/>
        <v>303.73</v>
      </c>
      <c r="W18" s="14">
        <f t="shared" si="24"/>
        <v>233.35</v>
      </c>
      <c r="X18" s="14">
        <f t="shared" si="24"/>
        <v>5036.26</v>
      </c>
      <c r="Y18" s="14">
        <f t="shared" si="24"/>
        <v>5245.18</v>
      </c>
      <c r="Z18" s="14">
        <f t="shared" si="24"/>
        <v>4625.03</v>
      </c>
      <c r="AA18" s="14">
        <f t="shared" si="24"/>
        <v>6126.8499999999995</v>
      </c>
      <c r="AB18" s="14">
        <f t="shared" si="24"/>
        <v>5591.3899999999994</v>
      </c>
      <c r="AC18" s="14">
        <f t="shared" ref="AC18" si="25">SUM(AC4:AC12)</f>
        <v>26624.709999999995</v>
      </c>
    </row>
  </sheetData>
  <pageMargins left="0.7" right="0.7" top="0.75" bottom="0.75" header="0.3" footer="0.3"/>
  <pageSetup scale="30" fitToHeight="0" orientation="landscape" r:id="rId1"/>
  <ignoredErrors>
    <ignoredError sqref="D1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Oluwakemi Oseni</dc:creator>
  <cp:lastModifiedBy>Oluwakemi Oseni</cp:lastModifiedBy>
  <cp:lastPrinted>2026-10-09T12:12:55Z</cp:lastPrinted>
  <dcterms:created xsi:type="dcterms:W3CDTF">2026-10-05T10:56:18Z</dcterms:created>
  <dcterms:modified xsi:type="dcterms:W3CDTF">2026-10-09T12:13:28Z</dcterms:modified>
</cp:coreProperties>
</file>